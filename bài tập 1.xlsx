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kê chi phí" sheetId="1" state="visible" r:id="rId1"/>
  </sheets>
  <definedNames>
    <definedName name="_xlnm._FilterDatabase" localSheetId="0" hidden="1">'Bảng kê chi phí'!$A$3:$H$28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VNĐ&quot;"/>
  </numFmts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9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left" vertical="center" wrapText="1"/>
    </xf>
    <xf numFmtId="164" fontId="3" fillId="0" borderId="7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52" customWidth="1" min="4" max="4"/>
    <col width="22" customWidth="1" min="5" max="5"/>
    <col width="22" customWidth="1" min="6" max="6"/>
    <col width="18" customWidth="1" min="7" max="7"/>
    <col width="20" customWidth="1" min="8" max="8"/>
  </cols>
  <sheetData>
    <row r="1" ht="28" customHeight="1">
      <c r="A1" s="1" t="inlineStr">
        <is>
          <t>BẢNG KÊ CHI PHÍ HOẠT ĐỘNG THÁNG 10/2026</t>
        </is>
      </c>
    </row>
    <row r="3" ht="30" customHeight="1">
      <c r="A3" s="2" t="inlineStr">
        <is>
          <t>STT</t>
        </is>
      </c>
      <c r="B3" s="3" t="inlineStr">
        <is>
          <t>Ngày Chi</t>
        </is>
      </c>
      <c r="C3" s="3" t="inlineStr">
        <is>
          <t>Mã Khoản Chi</t>
        </is>
      </c>
      <c r="D3" s="3" t="inlineStr">
        <is>
          <t>Hạng Mục Chi</t>
        </is>
      </c>
      <c r="E3" s="3" t="inlineStr">
        <is>
          <t>Phòng Ban Đề Xuất</t>
        </is>
      </c>
      <c r="F3" s="3" t="inlineStr">
        <is>
          <t>Người Duyệt</t>
        </is>
      </c>
      <c r="G3" s="3" t="inlineStr">
        <is>
          <t>Phương Thức</t>
        </is>
      </c>
      <c r="H3" s="4" t="inlineStr">
        <is>
          <t>Số Tiền (VNĐ)</t>
        </is>
      </c>
    </row>
    <row r="4" ht="30" customHeight="1">
      <c r="A4" s="5" t="n">
        <v>1</v>
      </c>
      <c r="B4" s="6" t="inlineStr">
        <is>
          <t>01/10/2026</t>
        </is>
      </c>
      <c r="C4" s="6" t="inlineStr">
        <is>
          <t>CP-VP-001</t>
        </is>
      </c>
      <c r="D4" s="7" t="inlineStr">
        <is>
          <t>Tiền thuê mặt bằng văn phòng Tầng 12</t>
        </is>
      </c>
      <c r="E4" s="7" t="inlineStr">
        <is>
          <t>Hành chính</t>
        </is>
      </c>
      <c r="F4" s="7" t="inlineStr">
        <is>
          <t>Nguyễn Tiến Dũng</t>
        </is>
      </c>
      <c r="G4" s="6" t="inlineStr">
        <is>
          <t>Chuyển khoản</t>
        </is>
      </c>
      <c r="H4" s="8" t="n">
        <v>45000000</v>
      </c>
    </row>
    <row r="5" ht="30" customHeight="1">
      <c r="A5" s="5" t="n">
        <v>2</v>
      </c>
      <c r="B5" s="6" t="inlineStr">
        <is>
          <t>02/10/2026</t>
        </is>
      </c>
      <c r="C5" s="6" t="inlineStr">
        <is>
          <t>CP-IT-002</t>
        </is>
      </c>
      <c r="D5" s="7" t="inlineStr">
        <is>
          <t>Chi phí điện lưới sinh hoạt và sản xuất</t>
        </is>
      </c>
      <c r="E5" s="7" t="inlineStr">
        <is>
          <t>Hành chính</t>
        </is>
      </c>
      <c r="F5" s="7" t="inlineStr">
        <is>
          <t>Lê Thanh Trúc</t>
        </is>
      </c>
      <c r="G5" s="6" t="inlineStr">
        <is>
          <t>Chuyển khoản</t>
        </is>
      </c>
      <c r="H5" s="8" t="n">
        <v>8500000</v>
      </c>
    </row>
    <row r="6" ht="30" customHeight="1">
      <c r="A6" s="5" t="n">
        <v>3</v>
      </c>
      <c r="B6" s="6" t="inlineStr">
        <is>
          <t>03/10/2026</t>
        </is>
      </c>
      <c r="C6" s="6" t="inlineStr">
        <is>
          <t>CP-IT-003</t>
        </is>
      </c>
      <c r="D6" s="7" t="inlineStr">
        <is>
          <t>Nước sinh hoạt và dịch vụ vệ sinh tòa nhà</t>
        </is>
      </c>
      <c r="E6" s="7" t="inlineStr">
        <is>
          <t>Hành chính</t>
        </is>
      </c>
      <c r="F6" s="7" t="inlineStr">
        <is>
          <t>Lê Thanh Trúc</t>
        </is>
      </c>
      <c r="G6" s="6" t="inlineStr">
        <is>
          <t>Tiền mặt</t>
        </is>
      </c>
      <c r="H6" s="8" t="n">
        <v>2100000</v>
      </c>
    </row>
    <row r="7" ht="30" customHeight="1">
      <c r="A7" s="5" t="n">
        <v>4</v>
      </c>
      <c r="B7" s="6" t="inlineStr">
        <is>
          <t>04/10/2026</t>
        </is>
      </c>
      <c r="C7" s="6" t="inlineStr">
        <is>
          <t>CP-IT-004</t>
        </is>
      </c>
      <c r="D7" s="7" t="inlineStr">
        <is>
          <t>Đường truyền Internet cáp quang Viettel 500Mbps</t>
        </is>
      </c>
      <c r="E7" s="7" t="inlineStr">
        <is>
          <t>IT</t>
        </is>
      </c>
      <c r="F7" s="7" t="inlineStr">
        <is>
          <t>Nguyễn Hoàng Nam</t>
        </is>
      </c>
      <c r="G7" s="6" t="inlineStr">
        <is>
          <t>Chuyển khoản</t>
        </is>
      </c>
      <c r="H7" s="8" t="n">
        <v>3200000</v>
      </c>
    </row>
    <row r="8" ht="30" customHeight="1">
      <c r="A8" s="5" t="n">
        <v>5</v>
      </c>
      <c r="B8" s="6" t="inlineStr">
        <is>
          <t>05/10/2026</t>
        </is>
      </c>
      <c r="C8" s="6" t="inlineStr">
        <is>
          <t>CP-TS-005</t>
        </is>
      </c>
      <c r="D8" s="7" t="inlineStr">
        <is>
          <t>Mua sắm 05 laptop Lenovo ThinkPad cho R&amp;D</t>
        </is>
      </c>
      <c r="E8" s="7" t="inlineStr">
        <is>
          <t>IT</t>
        </is>
      </c>
      <c r="F8" s="7" t="inlineStr">
        <is>
          <t>Nguyễn Hoàng Nam</t>
        </is>
      </c>
      <c r="G8" s="6" t="inlineStr">
        <is>
          <t>Chuyển khoản</t>
        </is>
      </c>
      <c r="H8" s="8" t="n">
        <v>115000000</v>
      </c>
    </row>
    <row r="9" ht="30" customHeight="1">
      <c r="A9" s="5" t="n">
        <v>6</v>
      </c>
      <c r="B9" s="6" t="inlineStr">
        <is>
          <t>06/10/2026</t>
        </is>
      </c>
      <c r="C9" s="6" t="inlineStr">
        <is>
          <t>CP-PM-006</t>
        </is>
      </c>
      <c r="D9" s="7" t="inlineStr">
        <is>
          <t>Gia hạn bản quyền phần mềm thiết kế Figma Team</t>
        </is>
      </c>
      <c r="E9" s="7" t="inlineStr">
        <is>
          <t>R&amp;D</t>
        </is>
      </c>
      <c r="F9" s="7" t="inlineStr">
        <is>
          <t>Trần Đức Minh</t>
        </is>
      </c>
      <c r="G9" s="6" t="inlineStr">
        <is>
          <t>Thẻ tín dụng</t>
        </is>
      </c>
      <c r="H9" s="8" t="n">
        <v>12500000</v>
      </c>
    </row>
    <row r="10" ht="30" customHeight="1">
      <c r="A10" s="5" t="n">
        <v>7</v>
      </c>
      <c r="B10" s="6" t="inlineStr">
        <is>
          <t>08/10/2026</t>
        </is>
      </c>
      <c r="C10" s="6" t="inlineStr">
        <is>
          <t>CP-TK-007</t>
        </is>
      </c>
      <c r="D10" s="7" t="inlineStr">
        <is>
          <t>Chi phí tiếp khách đối tác chiến lược Nhật Bản</t>
        </is>
      </c>
      <c r="E10" s="7" t="inlineStr">
        <is>
          <t>Kinh doanh</t>
        </is>
      </c>
      <c r="F10" s="7" t="inlineStr">
        <is>
          <t>Phạm Quốc Bảo</t>
        </is>
      </c>
      <c r="G10" s="6" t="inlineStr">
        <is>
          <t>Chuyển khoản</t>
        </is>
      </c>
      <c r="H10" s="8" t="n">
        <v>6800000</v>
      </c>
    </row>
    <row r="11" ht="30" customHeight="1">
      <c r="A11" s="5" t="n">
        <v>8</v>
      </c>
      <c r="B11" s="6" t="inlineStr">
        <is>
          <t>10/10/2026</t>
        </is>
      </c>
      <c r="C11" s="6" t="inlineStr">
        <is>
          <t>CP-VP-008</t>
        </is>
      </c>
      <c r="D11" s="7" t="inlineStr">
        <is>
          <t>Mua văn phòng phẩm và giấy in A4 Quý 4</t>
        </is>
      </c>
      <c r="E11" s="7" t="inlineStr">
        <is>
          <t>Hành chính</t>
        </is>
      </c>
      <c r="F11" s="7" t="inlineStr">
        <is>
          <t>Lê Thanh Trúc</t>
        </is>
      </c>
      <c r="G11" s="6" t="inlineStr">
        <is>
          <t>Tiền mặt</t>
        </is>
      </c>
      <c r="H11" s="8" t="n">
        <v>4300000</v>
      </c>
    </row>
    <row r="12" ht="30" customHeight="1">
      <c r="A12" s="5" t="n">
        <v>9</v>
      </c>
      <c r="B12" s="6" t="inlineStr">
        <is>
          <t>12/10/2026</t>
        </is>
      </c>
      <c r="C12" s="6" t="inlineStr">
        <is>
          <t>CP-MK-009</t>
        </is>
      </c>
      <c r="D12" s="7" t="inlineStr">
        <is>
          <t>Ngân sách chạy quảng cáo Facebook Ads đợt 1</t>
        </is>
      </c>
      <c r="E12" s="7" t="inlineStr">
        <is>
          <t>Marketing</t>
        </is>
      </c>
      <c r="F12" s="7" t="inlineStr">
        <is>
          <t>Hoàng Thùy Linh</t>
        </is>
      </c>
      <c r="G12" s="6" t="inlineStr">
        <is>
          <t>Thẻ tín dụng</t>
        </is>
      </c>
      <c r="H12" s="8" t="n">
        <v>35000000</v>
      </c>
    </row>
    <row r="13" ht="30" customHeight="1">
      <c r="A13" s="5" t="n">
        <v>10</v>
      </c>
      <c r="B13" s="6" t="inlineStr">
        <is>
          <t>14/10/2026</t>
        </is>
      </c>
      <c r="C13" s="6" t="inlineStr">
        <is>
          <t>CP-MK-010</t>
        </is>
      </c>
      <c r="D13" s="7" t="inlineStr">
        <is>
          <t>Ngân sách chạy quảng cáo từ khóa Google Ads</t>
        </is>
      </c>
      <c r="E13" s="7" t="inlineStr">
        <is>
          <t>Marketing</t>
        </is>
      </c>
      <c r="F13" s="7" t="inlineStr">
        <is>
          <t>Hoàng Thùy Linh</t>
        </is>
      </c>
      <c r="G13" s="6" t="inlineStr">
        <is>
          <t>Thẻ tín dụng</t>
        </is>
      </c>
      <c r="H13" s="8" t="n">
        <v>28000000</v>
      </c>
    </row>
    <row r="14" ht="30" customHeight="1">
      <c r="A14" s="5" t="n">
        <v>11</v>
      </c>
      <c r="B14" s="6" t="inlineStr">
        <is>
          <t>15/10/2026</t>
        </is>
      </c>
      <c r="C14" s="6" t="inlineStr">
        <is>
          <t>CP-NS-011</t>
        </is>
      </c>
      <c r="D14" s="7" t="inlineStr">
        <is>
          <t>Mua trà, cà phê và bánh kẹo Pantry văn phòng</t>
        </is>
      </c>
      <c r="E14" s="7" t="inlineStr">
        <is>
          <t>Nhân sự</t>
        </is>
      </c>
      <c r="F14" s="7" t="inlineStr">
        <is>
          <t>Trần Thu Thảo</t>
        </is>
      </c>
      <c r="G14" s="6" t="inlineStr">
        <is>
          <t>Tiền mặt</t>
        </is>
      </c>
      <c r="H14" s="8" t="n">
        <v>3500000</v>
      </c>
    </row>
    <row r="15" ht="30" customHeight="1">
      <c r="A15" s="5" t="n">
        <v>12</v>
      </c>
      <c r="B15" s="6" t="inlineStr">
        <is>
          <t>16/10/2026</t>
        </is>
      </c>
      <c r="C15" s="6" t="inlineStr">
        <is>
          <t>CP-NS-012</t>
        </is>
      </c>
      <c r="D15" s="7" t="inlineStr">
        <is>
          <t>Tổ chức sinh nhật cán bộ nhân viên tháng 10</t>
        </is>
      </c>
      <c r="E15" s="7" t="inlineStr">
        <is>
          <t>Nhân sự</t>
        </is>
      </c>
      <c r="F15" s="7" t="inlineStr">
        <is>
          <t>Trần Thu Thảo</t>
        </is>
      </c>
      <c r="G15" s="6" t="inlineStr">
        <is>
          <t>Chuyển khoản</t>
        </is>
      </c>
      <c r="H15" s="8" t="n">
        <v>5000000</v>
      </c>
    </row>
    <row r="16" ht="30" customHeight="1">
      <c r="A16" s="5" t="n">
        <v>13</v>
      </c>
      <c r="B16" s="6" t="inlineStr">
        <is>
          <t>18/10/2026</t>
        </is>
      </c>
      <c r="C16" s="6" t="inlineStr">
        <is>
          <t>CP-VP-013</t>
        </is>
      </c>
      <c r="D16" s="7" t="inlineStr">
        <is>
          <t>Thuê máy in đa năng Fuji Xerox hàng tháng</t>
        </is>
      </c>
      <c r="E16" s="7" t="inlineStr">
        <is>
          <t>Hành chính</t>
        </is>
      </c>
      <c r="F16" s="7" t="inlineStr">
        <is>
          <t>Lê Thanh Trúc</t>
        </is>
      </c>
      <c r="G16" s="6" t="inlineStr">
        <is>
          <t>Chuyển khoản</t>
        </is>
      </c>
      <c r="H16" s="8" t="n">
        <v>2800000</v>
      </c>
    </row>
    <row r="17" ht="30" customHeight="1">
      <c r="A17" s="5" t="n">
        <v>14</v>
      </c>
      <c r="B17" s="6" t="inlineStr">
        <is>
          <t>19/10/2026</t>
        </is>
      </c>
      <c r="C17" s="6" t="inlineStr">
        <is>
          <t>CP-VP-014</t>
        </is>
      </c>
      <c r="D17" s="7" t="inlineStr">
        <is>
          <t>Bảo trì và vệ sinh hệ thống điều hòa văn phòng</t>
        </is>
      </c>
      <c r="E17" s="7" t="inlineStr">
        <is>
          <t>Hành chính</t>
        </is>
      </c>
      <c r="F17" s="7" t="inlineStr">
        <is>
          <t>Lê Thanh Trúc</t>
        </is>
      </c>
      <c r="G17" s="6" t="inlineStr">
        <is>
          <t>Tiền mặt</t>
        </is>
      </c>
      <c r="H17" s="8" t="n">
        <v>4200000</v>
      </c>
    </row>
    <row r="18" ht="30" customHeight="1">
      <c r="A18" s="5" t="n">
        <v>15</v>
      </c>
      <c r="B18" s="6" t="inlineStr">
        <is>
          <t>20/10/2026</t>
        </is>
      </c>
      <c r="C18" s="6" t="inlineStr">
        <is>
          <t>CP-TC-015</t>
        </is>
      </c>
      <c r="D18" s="7" t="inlineStr">
        <is>
          <t>Phí kiểm toán báo cáo tài chính độc lập</t>
        </is>
      </c>
      <c r="E18" s="7" t="inlineStr">
        <is>
          <t>Kế toán</t>
        </is>
      </c>
      <c r="F18" s="7" t="inlineStr">
        <is>
          <t>Vũ Thị Mai</t>
        </is>
      </c>
      <c r="G18" s="6" t="inlineStr">
        <is>
          <t>Chuyển khoản</t>
        </is>
      </c>
      <c r="H18" s="8" t="n">
        <v>30000000</v>
      </c>
    </row>
    <row r="19" ht="30" customHeight="1">
      <c r="A19" s="5" t="n">
        <v>16</v>
      </c>
      <c r="B19" s="6" t="inlineStr">
        <is>
          <t>21/10/2026</t>
        </is>
      </c>
      <c r="C19" s="6" t="inlineStr">
        <is>
          <t>CP-TS-016</t>
        </is>
      </c>
      <c r="D19" s="7" t="inlineStr">
        <is>
          <t>Mua sắm 10 ghế công thái học cho nhân viên</t>
        </is>
      </c>
      <c r="E19" s="7" t="inlineStr">
        <is>
          <t>Hành chính</t>
        </is>
      </c>
      <c r="F19" s="7" t="inlineStr">
        <is>
          <t>Lê Thanh Trúc</t>
        </is>
      </c>
      <c r="G19" s="6" t="inlineStr">
        <is>
          <t>Chuyển khoản</t>
        </is>
      </c>
      <c r="H19" s="8" t="n">
        <v>18600000</v>
      </c>
    </row>
    <row r="20" ht="30" customHeight="1">
      <c r="A20" s="5" t="n">
        <v>17</v>
      </c>
      <c r="B20" s="6" t="inlineStr">
        <is>
          <t>22/10/2026</t>
        </is>
      </c>
      <c r="C20" s="6" t="inlineStr">
        <is>
          <t>CP-DT-017</t>
        </is>
      </c>
      <c r="D20" s="7" t="inlineStr">
        <is>
          <t>Khóa đào tạo kỹ năng lãnh đạo cho Quản lý</t>
        </is>
      </c>
      <c r="E20" s="7" t="inlineStr">
        <is>
          <t>Nhân sự</t>
        </is>
      </c>
      <c r="F20" s="7" t="inlineStr">
        <is>
          <t>Trần Thu Thảo</t>
        </is>
      </c>
      <c r="G20" s="6" t="inlineStr">
        <is>
          <t>Chuyển khoản</t>
        </is>
      </c>
      <c r="H20" s="8" t="n">
        <v>15000000</v>
      </c>
    </row>
    <row r="21" ht="30" customHeight="1">
      <c r="A21" s="5" t="n">
        <v>18</v>
      </c>
      <c r="B21" s="6" t="inlineStr">
        <is>
          <t>24/10/2026</t>
        </is>
      </c>
      <c r="C21" s="6" t="inlineStr">
        <is>
          <t>CP-TD-018</t>
        </is>
      </c>
      <c r="D21" s="7" t="inlineStr">
        <is>
          <t>Đăng tin tuyển dụng nhân sự trên LinkedIn</t>
        </is>
      </c>
      <c r="E21" s="7" t="inlineStr">
        <is>
          <t>Nhân sự</t>
        </is>
      </c>
      <c r="F21" s="7" t="inlineStr">
        <is>
          <t>Trần Thu Thảo</t>
        </is>
      </c>
      <c r="G21" s="6" t="inlineStr">
        <is>
          <t>Thẻ tín dụng</t>
        </is>
      </c>
      <c r="H21" s="8" t="n">
        <v>9500000</v>
      </c>
    </row>
    <row r="22" ht="30" customHeight="1">
      <c r="A22" s="5" t="n">
        <v>19</v>
      </c>
      <c r="B22" s="6" t="inlineStr">
        <is>
          <t>25/10/2026</t>
        </is>
      </c>
      <c r="C22" s="6" t="inlineStr">
        <is>
          <t>CP-NS-019</t>
        </is>
      </c>
      <c r="D22" s="7" t="inlineStr">
        <is>
          <t>May đồng phục mùa đông cho cán bộ nhân viên</t>
        </is>
      </c>
      <c r="E22" s="7" t="inlineStr">
        <is>
          <t>Hành chính</t>
        </is>
      </c>
      <c r="F22" s="7" t="inlineStr">
        <is>
          <t>Lê Thanh Trúc</t>
        </is>
      </c>
      <c r="G22" s="6" t="inlineStr">
        <is>
          <t>Chuyển khoản</t>
        </is>
      </c>
      <c r="H22" s="8" t="n">
        <v>22000000</v>
      </c>
    </row>
    <row r="23" ht="30" customHeight="1">
      <c r="A23" s="5" t="n">
        <v>20</v>
      </c>
      <c r="B23" s="6" t="inlineStr">
        <is>
          <t>26/10/2026</t>
        </is>
      </c>
      <c r="C23" s="6" t="inlineStr">
        <is>
          <t>CP-VP-020</t>
        </is>
      </c>
      <c r="D23" s="7" t="inlineStr">
        <is>
          <t>Chi phí vé gửi xe tháng cho cán bộ công ty</t>
        </is>
      </c>
      <c r="E23" s="7" t="inlineStr">
        <is>
          <t>Hành chính</t>
        </is>
      </c>
      <c r="F23" s="7" t="inlineStr">
        <is>
          <t>Lê Thanh Trúc</t>
        </is>
      </c>
      <c r="G23" s="6" t="inlineStr">
        <is>
          <t>Chuyển khoản</t>
        </is>
      </c>
      <c r="H23" s="8" t="n">
        <v>7800000</v>
      </c>
    </row>
    <row r="24" ht="30" customHeight="1">
      <c r="A24" s="5" t="n">
        <v>21</v>
      </c>
      <c r="B24" s="6" t="inlineStr">
        <is>
          <t>27/10/2026</t>
        </is>
      </c>
      <c r="C24" s="6" t="inlineStr">
        <is>
          <t>CP-YT-021</t>
        </is>
      </c>
      <c r="D24" s="7" t="inlineStr">
        <is>
          <t>Chi phí khám sức khỏe định kỳ năm 2026</t>
        </is>
      </c>
      <c r="E24" s="7" t="inlineStr">
        <is>
          <t>Nhân sự</t>
        </is>
      </c>
      <c r="F24" s="7" t="inlineStr">
        <is>
          <t>Trần Thu Thảo</t>
        </is>
      </c>
      <c r="G24" s="6" t="inlineStr">
        <is>
          <t>Chuyển khoản</t>
        </is>
      </c>
      <c r="H24" s="8" t="n">
        <v>38000000</v>
      </c>
    </row>
    <row r="25" ht="30" customHeight="1">
      <c r="A25" s="5" t="n">
        <v>22</v>
      </c>
      <c r="B25" s="6" t="inlineStr">
        <is>
          <t>28/10/2026</t>
        </is>
      </c>
      <c r="C25" s="6" t="inlineStr">
        <is>
          <t>CP-QH-022</t>
        </is>
      </c>
      <c r="D25" s="7" t="inlineStr">
        <is>
          <t>Mua hoa tươi chúc mừng khai trương đối tác</t>
        </is>
      </c>
      <c r="E25" s="7" t="inlineStr">
        <is>
          <t>Kinh doanh</t>
        </is>
      </c>
      <c r="F25" s="7" t="inlineStr">
        <is>
          <t>Phạm Quốc Bảo</t>
        </is>
      </c>
      <c r="G25" s="6" t="inlineStr">
        <is>
          <t>Tiền mặt</t>
        </is>
      </c>
      <c r="H25" s="8" t="n">
        <v>1800000</v>
      </c>
    </row>
    <row r="26" ht="30" customHeight="1">
      <c r="A26" s="5" t="n">
        <v>23</v>
      </c>
      <c r="B26" s="6" t="inlineStr">
        <is>
          <t>29/10/2026</t>
        </is>
      </c>
      <c r="C26" s="6" t="inlineStr">
        <is>
          <t>CP-VC-023</t>
        </is>
      </c>
      <c r="D26" s="7" t="inlineStr">
        <is>
          <t>Cước vận chuyển hồ sơ chứng từ liên tỉnh</t>
        </is>
      </c>
      <c r="E26" s="7" t="inlineStr">
        <is>
          <t>Kế toán</t>
        </is>
      </c>
      <c r="F26" s="7" t="inlineStr">
        <is>
          <t>Vũ Thị Mai</t>
        </is>
      </c>
      <c r="G26" s="6" t="inlineStr">
        <is>
          <t>Tiền mặt</t>
        </is>
      </c>
      <c r="H26" s="8" t="n">
        <v>1250000</v>
      </c>
    </row>
    <row r="27" ht="30" customHeight="1">
      <c r="A27" s="5" t="n">
        <v>24</v>
      </c>
      <c r="B27" s="6" t="inlineStr">
        <is>
          <t>30/10/2026</t>
        </is>
      </c>
      <c r="C27" s="6" t="inlineStr">
        <is>
          <t>CP-IT-024</t>
        </is>
      </c>
      <c r="D27" s="7" t="inlineStr">
        <is>
          <t>Mua ổ cứng mạng NAS Synology sao lưu CSDL</t>
        </is>
      </c>
      <c r="E27" s="7" t="inlineStr">
        <is>
          <t>IT</t>
        </is>
      </c>
      <c r="F27" s="7" t="inlineStr">
        <is>
          <t>Nguyễn Hoàng Nam</t>
        </is>
      </c>
      <c r="G27" s="6" t="inlineStr">
        <is>
          <t>Chuyển khoản</t>
        </is>
      </c>
      <c r="H27" s="8" t="n">
        <v>16500000</v>
      </c>
    </row>
    <row r="28" ht="30" customHeight="1">
      <c r="A28" s="9" t="n">
        <v>25</v>
      </c>
      <c r="B28" s="10" t="inlineStr">
        <is>
          <t>31/10/2026</t>
        </is>
      </c>
      <c r="C28" s="10" t="inlineStr">
        <is>
          <t>CP-KT-025</t>
        </is>
      </c>
      <c r="D28" s="11" t="inlineStr">
        <is>
          <t>Quỹ khen thưởng sáng kiến cải tiến tuần 4</t>
        </is>
      </c>
      <c r="E28" s="11" t="inlineStr">
        <is>
          <t>Ban Giám đốc</t>
        </is>
      </c>
      <c r="F28" s="11" t="inlineStr">
        <is>
          <t>Nguyễn Tiến Dũng</t>
        </is>
      </c>
      <c r="G28" s="10" t="inlineStr">
        <is>
          <t>Chuyển khoản</t>
        </is>
      </c>
      <c r="H28" s="12" t="n">
        <v>6000000</v>
      </c>
    </row>
    <row r="30">
      <c r="F30" s="13" t="inlineStr">
        <is>
          <t>TỔNG CHI PHÍ HOẠT ĐỘNG</t>
        </is>
      </c>
      <c r="H30" s="14">
        <f>SUM(H4:H28)</f>
        <v/>
      </c>
    </row>
    <row r="31">
      <c r="F31" s="13" t="inlineStr">
        <is>
          <t>CHI PHÍ TRUNG BÌNH MỖI KHOẢN</t>
        </is>
      </c>
      <c r="H31" s="14">
        <f>AVERAGE(H4:H28)</f>
        <v/>
      </c>
    </row>
    <row r="32">
      <c r="F32" s="13" t="inlineStr">
        <is>
          <t>KHOẢN CHI LỚN NHẤT TRONG THÁNG</t>
        </is>
      </c>
      <c r="H32" s="14">
        <f>MAX(H4:H28)</f>
        <v/>
      </c>
    </row>
    <row r="33">
      <c r="F33" s="13" t="inlineStr">
        <is>
          <t>KHOẢN CHI NHỎ NHẤT TRONG THÁNG</t>
        </is>
      </c>
      <c r="H33" s="14">
        <f>MIN(H4:H28)</f>
        <v/>
      </c>
    </row>
    <row r="34">
      <c r="F34" s="13" t="inlineStr">
        <is>
          <t>TỔNG SỐ GIAO DỊCH CHI TIÊU</t>
        </is>
      </c>
      <c r="H34" s="15">
        <f>COUNT(H4:H28)</f>
        <v/>
      </c>
    </row>
  </sheetData>
  <autoFilter ref="A3:H28"/>
  <mergeCells count="1"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2026-10-06T13:55:46Z</dcterms:created>
  <dcterms:modified xmlns:dcterms="http://purl.org/dc/terms/" xmlns:xsi="http://www.w3.org/2001/XMLSchema-instance" xsi:type="dcterms:W3CDTF">2026-10-06T13:55:46Z</dcterms:modified>
</cp:coreProperties>
</file>